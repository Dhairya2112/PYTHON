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JENG\Desktop\PYTHON\T2\4.Regression - Model Training &amp; Evaluation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N18" i="1"/>
  <c r="O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J2" i="1"/>
  <c r="I18" i="1"/>
  <c r="H1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<sst xmlns="http://schemas.openxmlformats.org/spreadsheetml/2006/main" count="16" uniqueCount="16">
  <si>
    <t>x</t>
  </si>
  <si>
    <t>y</t>
  </si>
  <si>
    <t>x'</t>
  </si>
  <si>
    <t>y'</t>
  </si>
  <si>
    <t>x-x'</t>
  </si>
  <si>
    <t>y-y'</t>
  </si>
  <si>
    <t>(x-x')(y-y')</t>
  </si>
  <si>
    <t>(x-x')^2</t>
  </si>
  <si>
    <t>m</t>
  </si>
  <si>
    <t>c</t>
  </si>
  <si>
    <t>ypred</t>
  </si>
  <si>
    <t>y-ypred</t>
  </si>
  <si>
    <t>ABS</t>
  </si>
  <si>
    <t>(y-ypred)^2</t>
  </si>
  <si>
    <t>MAE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</si>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</sst>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8"/>
  <sheetViews>
    <sheetView tabSelected="1" workbookViewId="0">
      <selection activeCell="C19" sqref="C19"/>
    </sheetView>
  </sheetViews>
  <sheetFormatPr defaultRowHeight="15" x14ac:dyDescent="0.25"/>
  <cols>
    <col min="8" max="8" width="12.140625" customWidth="1"/>
    <col min="12" max="12" width="11.85546875" customWidth="1"/>
    <col min="13" max="13" width="10.85546875" customWidth="1"/>
    <col min="14" max="14" width="11" customWidth="1"/>
    <col min="15" max="15" width="14.5703125" customWidth="1"/>
  </cols>
  <sheetData>
    <row r="1" spans="2:1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2:15" x14ac:dyDescent="0.25">
      <c r="B2" s="1">
        <v>15</v>
      </c>
      <c r="C2" s="1">
        <v>49</v>
      </c>
      <c r="D2" s="1">
        <v>19.93</v>
      </c>
      <c r="E2" s="1">
        <v>56.8</v>
      </c>
      <c r="F2">
        <f>B2-D2</f>
        <v>-4.93</v>
      </c>
      <c r="G2">
        <f>C2-E2</f>
        <v>-7.7999999999999972</v>
      </c>
      <c r="H2">
        <f>F2*G2</f>
        <v>38.453999999999986</v>
      </c>
      <c r="I2">
        <f>F2*F2</f>
        <v>24.304899999999996</v>
      </c>
      <c r="J2">
        <f>H18/I18</f>
        <v>1.8939469051506277</v>
      </c>
      <c r="K2">
        <f>E2-J2*D2</f>
        <v>19.053638180347988</v>
      </c>
      <c r="L2">
        <f>J2*B2+K2</f>
        <v>47.462841757607407</v>
      </c>
      <c r="M2">
        <f>C2-L2</f>
        <v>1.5371582423925929</v>
      </c>
      <c r="N2">
        <f>ABS(M2)</f>
        <v>1.5371582423925929</v>
      </c>
      <c r="O2">
        <f>M2*M2</f>
        <v>2.3628554621554856</v>
      </c>
    </row>
    <row r="3" spans="2:15" x14ac:dyDescent="0.25">
      <c r="B3" s="1">
        <v>23</v>
      </c>
      <c r="C3" s="1">
        <v>63</v>
      </c>
      <c r="D3" s="1">
        <v>19.93</v>
      </c>
      <c r="E3" s="1">
        <v>56.8</v>
      </c>
      <c r="F3">
        <f t="shared" ref="F3:F16" si="0">B3-D3</f>
        <v>3.0700000000000003</v>
      </c>
      <c r="G3">
        <f t="shared" ref="G3:G16" si="1">C3-E3</f>
        <v>6.2000000000000028</v>
      </c>
      <c r="H3">
        <f t="shared" ref="H3:H16" si="2">F3*G3</f>
        <v>19.03400000000001</v>
      </c>
      <c r="I3">
        <f t="shared" ref="I3:I16" si="3">F3*F3</f>
        <v>9.4249000000000009</v>
      </c>
      <c r="J3">
        <v>1.8939469051506277</v>
      </c>
      <c r="K3">
        <v>19.053638180347988</v>
      </c>
      <c r="L3">
        <f t="shared" ref="L3:L16" si="4">J3*B3+K3</f>
        <v>62.614416998812423</v>
      </c>
      <c r="M3">
        <f t="shared" ref="M3:M16" si="5">C3-L3</f>
        <v>0.38558300118757671</v>
      </c>
      <c r="N3">
        <f t="shared" ref="N3:N16" si="6">ABS(M3)</f>
        <v>0.38558300118757671</v>
      </c>
      <c r="O3">
        <f t="shared" ref="O3:O16" si="7">M3*M3</f>
        <v>0.14867425080481877</v>
      </c>
    </row>
    <row r="4" spans="2:15" x14ac:dyDescent="0.25">
      <c r="B4" s="1">
        <v>18</v>
      </c>
      <c r="C4" s="1">
        <v>58</v>
      </c>
      <c r="D4" s="1">
        <v>19.93</v>
      </c>
      <c r="E4" s="1">
        <v>56.8</v>
      </c>
      <c r="F4">
        <f t="shared" si="0"/>
        <v>-1.9299999999999997</v>
      </c>
      <c r="G4">
        <f t="shared" si="1"/>
        <v>1.2000000000000028</v>
      </c>
      <c r="H4">
        <f t="shared" si="2"/>
        <v>-2.3160000000000052</v>
      </c>
      <c r="I4">
        <f t="shared" si="3"/>
        <v>3.724899999999999</v>
      </c>
      <c r="J4">
        <v>1.8939469051506277</v>
      </c>
      <c r="K4">
        <v>19.053638180347988</v>
      </c>
      <c r="L4">
        <f t="shared" si="4"/>
        <v>53.144682473059284</v>
      </c>
      <c r="M4">
        <f t="shared" si="5"/>
        <v>4.8553175269407163</v>
      </c>
      <c r="N4">
        <f t="shared" si="6"/>
        <v>4.8553175269407163</v>
      </c>
      <c r="O4">
        <f t="shared" si="7"/>
        <v>23.574108287417712</v>
      </c>
    </row>
    <row r="5" spans="2:15" x14ac:dyDescent="0.25">
      <c r="B5" s="1">
        <v>23</v>
      </c>
      <c r="C5" s="1">
        <v>60</v>
      </c>
      <c r="D5" s="1">
        <v>19.93</v>
      </c>
      <c r="E5" s="1">
        <v>56.8</v>
      </c>
      <c r="F5">
        <f t="shared" si="0"/>
        <v>3.0700000000000003</v>
      </c>
      <c r="G5">
        <f t="shared" si="1"/>
        <v>3.2000000000000028</v>
      </c>
      <c r="H5">
        <f t="shared" si="2"/>
        <v>9.8240000000000105</v>
      </c>
      <c r="I5">
        <f t="shared" si="3"/>
        <v>9.4249000000000009</v>
      </c>
      <c r="J5">
        <v>1.8939469051506277</v>
      </c>
      <c r="K5">
        <v>19.053638180347988</v>
      </c>
      <c r="L5">
        <f t="shared" si="4"/>
        <v>62.614416998812423</v>
      </c>
      <c r="M5">
        <f t="shared" si="5"/>
        <v>-2.6144169988124233</v>
      </c>
      <c r="N5">
        <f t="shared" si="6"/>
        <v>2.6144169988124233</v>
      </c>
      <c r="O5">
        <f t="shared" si="7"/>
        <v>6.8351762436793582</v>
      </c>
    </row>
    <row r="6" spans="2:15" x14ac:dyDescent="0.25">
      <c r="B6" s="1">
        <v>24</v>
      </c>
      <c r="C6" s="1">
        <v>58</v>
      </c>
      <c r="D6" s="1">
        <v>19.93</v>
      </c>
      <c r="E6" s="1">
        <v>56.8</v>
      </c>
      <c r="F6">
        <f t="shared" si="0"/>
        <v>4.07</v>
      </c>
      <c r="G6">
        <f t="shared" si="1"/>
        <v>1.2000000000000028</v>
      </c>
      <c r="H6">
        <f t="shared" si="2"/>
        <v>4.8840000000000119</v>
      </c>
      <c r="I6">
        <f t="shared" si="3"/>
        <v>16.564900000000002</v>
      </c>
      <c r="J6">
        <v>1.8939469051506277</v>
      </c>
      <c r="K6">
        <v>19.053638180347988</v>
      </c>
      <c r="L6">
        <f t="shared" si="4"/>
        <v>64.508363903963044</v>
      </c>
      <c r="M6">
        <f t="shared" si="5"/>
        <v>-6.5083639039630441</v>
      </c>
      <c r="N6">
        <f t="shared" si="6"/>
        <v>6.5083639039630441</v>
      </c>
      <c r="O6">
        <f t="shared" si="7"/>
        <v>42.358800706409077</v>
      </c>
    </row>
    <row r="7" spans="2:15" x14ac:dyDescent="0.25">
      <c r="B7" s="1">
        <v>22</v>
      </c>
      <c r="C7" s="1">
        <v>61</v>
      </c>
      <c r="D7" s="1">
        <v>19.93</v>
      </c>
      <c r="E7" s="1">
        <v>56.8</v>
      </c>
      <c r="F7">
        <f t="shared" si="0"/>
        <v>2.0700000000000003</v>
      </c>
      <c r="G7">
        <f t="shared" si="1"/>
        <v>4.2000000000000028</v>
      </c>
      <c r="H7">
        <f t="shared" si="2"/>
        <v>8.6940000000000079</v>
      </c>
      <c r="I7">
        <f t="shared" si="3"/>
        <v>4.2849000000000013</v>
      </c>
      <c r="J7">
        <v>1.8939469051506277</v>
      </c>
      <c r="K7">
        <v>19.053638180347988</v>
      </c>
      <c r="L7">
        <f t="shared" si="4"/>
        <v>60.720470093661795</v>
      </c>
      <c r="M7">
        <f t="shared" si="5"/>
        <v>0.27952990633820463</v>
      </c>
      <c r="N7">
        <f t="shared" si="6"/>
        <v>0.27952990633820463</v>
      </c>
      <c r="O7">
        <f t="shared" si="7"/>
        <v>7.813696853744545E-2</v>
      </c>
    </row>
    <row r="8" spans="2:15" x14ac:dyDescent="0.25">
      <c r="B8" s="1">
        <v>22</v>
      </c>
      <c r="C8" s="1">
        <v>60</v>
      </c>
      <c r="D8" s="1">
        <v>19.93</v>
      </c>
      <c r="E8" s="1">
        <v>56.8</v>
      </c>
      <c r="F8">
        <f t="shared" si="0"/>
        <v>2.0700000000000003</v>
      </c>
      <c r="G8">
        <f t="shared" si="1"/>
        <v>3.2000000000000028</v>
      </c>
      <c r="H8">
        <f t="shared" si="2"/>
        <v>6.6240000000000068</v>
      </c>
      <c r="I8">
        <f t="shared" si="3"/>
        <v>4.2849000000000013</v>
      </c>
      <c r="J8">
        <v>1.8939469051506277</v>
      </c>
      <c r="K8">
        <v>19.053638180347988</v>
      </c>
      <c r="L8">
        <f t="shared" si="4"/>
        <v>60.720470093661795</v>
      </c>
      <c r="M8">
        <f t="shared" si="5"/>
        <v>-0.72047009366179537</v>
      </c>
      <c r="N8">
        <f t="shared" si="6"/>
        <v>0.72047009366179537</v>
      </c>
      <c r="O8">
        <f t="shared" si="7"/>
        <v>0.5190771558610362</v>
      </c>
    </row>
    <row r="9" spans="2:15" x14ac:dyDescent="0.25">
      <c r="B9" s="1">
        <v>19</v>
      </c>
      <c r="C9" s="1">
        <v>63</v>
      </c>
      <c r="D9" s="1">
        <v>19.93</v>
      </c>
      <c r="E9" s="1">
        <v>56.8</v>
      </c>
      <c r="F9">
        <f t="shared" si="0"/>
        <v>-0.92999999999999972</v>
      </c>
      <c r="G9">
        <f t="shared" si="1"/>
        <v>6.2000000000000028</v>
      </c>
      <c r="H9">
        <f t="shared" si="2"/>
        <v>-5.7660000000000009</v>
      </c>
      <c r="I9">
        <f t="shared" si="3"/>
        <v>0.86489999999999945</v>
      </c>
      <c r="J9">
        <v>1.8939469051506277</v>
      </c>
      <c r="K9">
        <v>19.053638180347988</v>
      </c>
      <c r="L9">
        <f t="shared" si="4"/>
        <v>55.038629378209912</v>
      </c>
      <c r="M9">
        <f t="shared" si="5"/>
        <v>7.9613706217900884</v>
      </c>
      <c r="N9">
        <f t="shared" si="6"/>
        <v>7.9613706217900884</v>
      </c>
      <c r="O9">
        <f t="shared" si="7"/>
        <v>63.383422177502297</v>
      </c>
    </row>
    <row r="10" spans="2:15" x14ac:dyDescent="0.25">
      <c r="B10" s="1">
        <v>19</v>
      </c>
      <c r="C10" s="1">
        <v>60</v>
      </c>
      <c r="D10" s="1">
        <v>19.93</v>
      </c>
      <c r="E10" s="1">
        <v>56.8</v>
      </c>
      <c r="F10">
        <f t="shared" si="0"/>
        <v>-0.92999999999999972</v>
      </c>
      <c r="G10">
        <f t="shared" si="1"/>
        <v>3.2000000000000028</v>
      </c>
      <c r="H10">
        <f t="shared" si="2"/>
        <v>-2.9760000000000018</v>
      </c>
      <c r="I10">
        <f t="shared" si="3"/>
        <v>0.86489999999999945</v>
      </c>
      <c r="J10">
        <v>1.8939469051506277</v>
      </c>
      <c r="K10">
        <v>19.053638180347988</v>
      </c>
      <c r="L10">
        <f t="shared" si="4"/>
        <v>55.038629378209912</v>
      </c>
      <c r="M10">
        <f t="shared" si="5"/>
        <v>4.9613706217900884</v>
      </c>
      <c r="N10">
        <f t="shared" si="6"/>
        <v>4.9613706217900884</v>
      </c>
      <c r="O10">
        <f t="shared" si="7"/>
        <v>24.615198446761767</v>
      </c>
    </row>
    <row r="11" spans="2:15" x14ac:dyDescent="0.25">
      <c r="B11" s="1">
        <v>16</v>
      </c>
      <c r="C11" s="1">
        <v>52</v>
      </c>
      <c r="D11" s="1">
        <v>19.93</v>
      </c>
      <c r="E11" s="1">
        <v>56.8</v>
      </c>
      <c r="F11">
        <f t="shared" si="0"/>
        <v>-3.9299999999999997</v>
      </c>
      <c r="G11">
        <f t="shared" si="1"/>
        <v>-4.7999999999999972</v>
      </c>
      <c r="H11">
        <f t="shared" si="2"/>
        <v>18.863999999999987</v>
      </c>
      <c r="I11">
        <f t="shared" si="3"/>
        <v>15.444899999999997</v>
      </c>
      <c r="J11">
        <v>1.8939469051506277</v>
      </c>
      <c r="K11">
        <v>19.053638180347988</v>
      </c>
      <c r="L11">
        <f t="shared" si="4"/>
        <v>49.356788662758035</v>
      </c>
      <c r="M11">
        <f t="shared" si="5"/>
        <v>2.643211337241965</v>
      </c>
      <c r="N11">
        <f t="shared" si="6"/>
        <v>2.643211337241965</v>
      </c>
      <c r="O11">
        <f t="shared" si="7"/>
        <v>6.9865661733244568</v>
      </c>
    </row>
    <row r="12" spans="2:15" x14ac:dyDescent="0.25">
      <c r="B12" s="1">
        <v>24</v>
      </c>
      <c r="C12" s="1">
        <v>62</v>
      </c>
      <c r="D12" s="1">
        <v>19.93</v>
      </c>
      <c r="E12" s="1">
        <v>56.8</v>
      </c>
      <c r="F12">
        <f t="shared" si="0"/>
        <v>4.07</v>
      </c>
      <c r="G12">
        <f t="shared" si="1"/>
        <v>5.2000000000000028</v>
      </c>
      <c r="H12">
        <f t="shared" si="2"/>
        <v>21.164000000000012</v>
      </c>
      <c r="I12">
        <f t="shared" si="3"/>
        <v>16.564900000000002</v>
      </c>
      <c r="J12">
        <v>1.8939469051506277</v>
      </c>
      <c r="K12">
        <v>19.053638180347988</v>
      </c>
      <c r="L12">
        <f t="shared" si="4"/>
        <v>64.508363903963044</v>
      </c>
      <c r="M12">
        <f t="shared" si="5"/>
        <v>-2.5083639039630441</v>
      </c>
      <c r="N12">
        <f t="shared" si="6"/>
        <v>2.5083639039630441</v>
      </c>
      <c r="O12">
        <f t="shared" si="7"/>
        <v>6.2918894747047238</v>
      </c>
    </row>
    <row r="13" spans="2:15" x14ac:dyDescent="0.25">
      <c r="B13" s="1">
        <v>11</v>
      </c>
      <c r="C13" s="1">
        <v>30</v>
      </c>
      <c r="D13" s="1">
        <v>19.93</v>
      </c>
      <c r="E13" s="1">
        <v>56.8</v>
      </c>
      <c r="F13">
        <f t="shared" si="0"/>
        <v>-8.93</v>
      </c>
      <c r="G13">
        <f t="shared" si="1"/>
        <v>-26.799999999999997</v>
      </c>
      <c r="H13">
        <f t="shared" si="2"/>
        <v>239.32399999999996</v>
      </c>
      <c r="I13">
        <f t="shared" si="3"/>
        <v>79.744900000000001</v>
      </c>
      <c r="J13">
        <v>1.8939469051506277</v>
      </c>
      <c r="K13">
        <v>19.053638180347988</v>
      </c>
      <c r="L13">
        <f t="shared" si="4"/>
        <v>39.887054137004895</v>
      </c>
      <c r="M13">
        <f t="shared" si="5"/>
        <v>-9.8870541370048954</v>
      </c>
      <c r="N13">
        <f t="shared" si="6"/>
        <v>9.8870541370048954</v>
      </c>
      <c r="O13">
        <f t="shared" si="7"/>
        <v>97.753839508065624</v>
      </c>
    </row>
    <row r="14" spans="2:15" x14ac:dyDescent="0.25">
      <c r="B14" s="1">
        <v>24</v>
      </c>
      <c r="C14" s="1">
        <v>59</v>
      </c>
      <c r="D14" s="1">
        <v>19.93</v>
      </c>
      <c r="E14" s="1">
        <v>56.8</v>
      </c>
      <c r="F14">
        <f t="shared" si="0"/>
        <v>4.07</v>
      </c>
      <c r="G14">
        <f t="shared" si="1"/>
        <v>2.2000000000000028</v>
      </c>
      <c r="H14">
        <f t="shared" si="2"/>
        <v>8.9540000000000131</v>
      </c>
      <c r="I14">
        <f t="shared" si="3"/>
        <v>16.564900000000002</v>
      </c>
      <c r="J14">
        <v>1.8939469051506277</v>
      </c>
      <c r="K14">
        <v>19.053638180347988</v>
      </c>
      <c r="L14">
        <f t="shared" si="4"/>
        <v>64.508363903963044</v>
      </c>
      <c r="M14">
        <f t="shared" si="5"/>
        <v>-5.5083639039630441</v>
      </c>
      <c r="N14">
        <f t="shared" si="6"/>
        <v>5.5083639039630441</v>
      </c>
      <c r="O14">
        <f t="shared" si="7"/>
        <v>30.342072898482989</v>
      </c>
    </row>
    <row r="15" spans="2:15" x14ac:dyDescent="0.25">
      <c r="B15" s="1">
        <v>16</v>
      </c>
      <c r="C15" s="1">
        <v>49</v>
      </c>
      <c r="D15" s="1">
        <v>19.93</v>
      </c>
      <c r="E15" s="1">
        <v>56.8</v>
      </c>
      <c r="F15">
        <f t="shared" si="0"/>
        <v>-3.9299999999999997</v>
      </c>
      <c r="G15">
        <f t="shared" si="1"/>
        <v>-7.7999999999999972</v>
      </c>
      <c r="H15">
        <f t="shared" si="2"/>
        <v>30.653999999999986</v>
      </c>
      <c r="I15">
        <f t="shared" si="3"/>
        <v>15.444899999999997</v>
      </c>
      <c r="J15">
        <v>1.8939469051506277</v>
      </c>
      <c r="K15">
        <v>19.053638180347988</v>
      </c>
      <c r="L15">
        <f t="shared" si="4"/>
        <v>49.356788662758035</v>
      </c>
      <c r="M15">
        <f t="shared" si="5"/>
        <v>-0.356788662758035</v>
      </c>
      <c r="N15">
        <f t="shared" si="6"/>
        <v>0.356788662758035</v>
      </c>
      <c r="O15">
        <f t="shared" si="7"/>
        <v>0.12729814987266683</v>
      </c>
    </row>
    <row r="16" spans="2:15" x14ac:dyDescent="0.25">
      <c r="B16" s="1">
        <v>23</v>
      </c>
      <c r="C16" s="1">
        <v>68</v>
      </c>
      <c r="D16" s="1">
        <v>19.93</v>
      </c>
      <c r="E16" s="1">
        <v>56.8</v>
      </c>
      <c r="F16">
        <f t="shared" si="0"/>
        <v>3.0700000000000003</v>
      </c>
      <c r="G16">
        <f t="shared" si="1"/>
        <v>11.200000000000003</v>
      </c>
      <c r="H16">
        <f t="shared" si="2"/>
        <v>34.384000000000015</v>
      </c>
      <c r="I16">
        <f t="shared" si="3"/>
        <v>9.4249000000000009</v>
      </c>
      <c r="J16">
        <v>1.8939469051506277</v>
      </c>
      <c r="K16">
        <v>19.053638180347988</v>
      </c>
      <c r="L16">
        <f t="shared" si="4"/>
        <v>62.614416998812423</v>
      </c>
      <c r="M16">
        <f t="shared" si="5"/>
        <v>5.3855830011875767</v>
      </c>
      <c r="N16">
        <f t="shared" si="6"/>
        <v>5.3855830011875767</v>
      </c>
      <c r="O16">
        <f t="shared" si="7"/>
        <v>29.004504262680587</v>
      </c>
    </row>
    <row r="17" spans="8:15" x14ac:dyDescent="0.25">
      <c r="N17" s="2" t="s">
        <v>14</v>
      </c>
      <c r="O17" s="2" t="s">
        <v>15</v>
      </c>
    </row>
    <row r="18" spans="8:15" x14ac:dyDescent="0.25">
      <c r="H18">
        <f>SUM(H2:H16)</f>
        <v>429.8</v>
      </c>
      <c r="I18">
        <f>SUM(I2:I16)</f>
        <v>226.93350000000001</v>
      </c>
      <c r="N18">
        <f>AVERAGE(N2:N16)</f>
        <v>3.740863057533006</v>
      </c>
      <c r="O18">
        <f>AVERAGE(O2:O16)</f>
        <v>22.292108011084007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2026-03-20T19:54:18Z</dcterms:created>
  <dcterms:modified xsi:type="dcterms:W3CDTF">2026-03-20T21:39:27Z</dcterms:modified>
</cp:coreProperties>
</file>